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li\Documents\GDipSA\Classes\ML\ML7_Text Processing\"/>
    </mc:Choice>
  </mc:AlternateContent>
  <xr:revisionPtr revIDLastSave="0" documentId="13_ncr:1_{06015D34-C496-461C-BAE1-8A914C0F5CE3}" xr6:coauthVersionLast="47" xr6:coauthVersionMax="47" xr10:uidLastSave="{00000000-0000-0000-0000-000000000000}"/>
  <bookViews>
    <workbookView xWindow="11424" yWindow="0" windowWidth="11712" windowHeight="12336" xr2:uid="{14921FA1-0D9B-4646-B747-D440E965C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7" i="1" l="1"/>
  <c r="T18" i="1"/>
  <c r="T19" i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N52" i="1" s="1"/>
  <c r="B40" i="1"/>
  <c r="C40" i="1" s="1"/>
  <c r="M52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F52" i="1" s="1"/>
  <c r="B32" i="1"/>
  <c r="C32" i="1" s="1"/>
  <c r="E51" i="1" s="1"/>
  <c r="B31" i="1"/>
  <c r="C31" i="1" s="1"/>
  <c r="B30" i="1"/>
  <c r="C30" i="1" s="1"/>
  <c r="B29" i="1"/>
  <c r="C29" i="1" s="1"/>
  <c r="E25" i="1"/>
  <c r="R24" i="1"/>
  <c r="P23" i="1"/>
  <c r="R51" i="1" l="1"/>
  <c r="P50" i="1"/>
  <c r="O25" i="1"/>
  <c r="D50" i="1"/>
  <c r="D52" i="1"/>
  <c r="K52" i="1"/>
  <c r="K50" i="1"/>
  <c r="G52" i="1"/>
  <c r="G51" i="1"/>
  <c r="I50" i="1"/>
  <c r="I51" i="1"/>
  <c r="R52" i="1"/>
  <c r="R50" i="1"/>
  <c r="H50" i="1"/>
  <c r="J52" i="1"/>
  <c r="J51" i="1"/>
  <c r="L51" i="1"/>
  <c r="L50" i="1"/>
  <c r="O51" i="1"/>
  <c r="O50" i="1"/>
  <c r="O52" i="1"/>
  <c r="Q51" i="1"/>
  <c r="Q50" i="1"/>
  <c r="C52" i="1"/>
  <c r="C50" i="1"/>
  <c r="S51" i="1"/>
  <c r="S50" i="1"/>
  <c r="Q25" i="1"/>
  <c r="Q52" i="1" s="1"/>
  <c r="M24" i="1"/>
  <c r="M51" i="1" s="1"/>
  <c r="I25" i="1"/>
  <c r="I52" i="1" s="1"/>
  <c r="L25" i="1"/>
  <c r="L52" i="1" s="1"/>
  <c r="P25" i="1"/>
  <c r="P52" i="1" s="1"/>
  <c r="S25" i="1"/>
  <c r="S52" i="1" s="1"/>
  <c r="F24" i="1"/>
  <c r="F51" i="1" s="1"/>
  <c r="N24" i="1"/>
  <c r="N51" i="1" s="1"/>
  <c r="P24" i="1"/>
  <c r="P51" i="1" s="1"/>
  <c r="C24" i="1"/>
  <c r="C51" i="1" s="1"/>
  <c r="D24" i="1"/>
  <c r="D51" i="1" s="1"/>
  <c r="K24" i="1"/>
  <c r="K51" i="1" s="1"/>
  <c r="H52" i="1"/>
  <c r="H51" i="1"/>
  <c r="F50" i="1"/>
  <c r="E50" i="1"/>
  <c r="E52" i="1"/>
  <c r="B52" i="1"/>
  <c r="B51" i="1"/>
  <c r="G23" i="1"/>
  <c r="G50" i="1" s="1"/>
  <c r="M23" i="1"/>
  <c r="M50" i="1" s="1"/>
  <c r="B23" i="1"/>
  <c r="B50" i="1" s="1"/>
  <c r="H23" i="1"/>
  <c r="N23" i="1"/>
  <c r="N50" i="1" s="1"/>
  <c r="J23" i="1"/>
  <c r="J50" i="1" s="1"/>
  <c r="T50" i="1" l="1"/>
  <c r="B56" i="1" s="1"/>
  <c r="T51" i="1"/>
  <c r="T52" i="1"/>
  <c r="S58" i="1" s="1"/>
  <c r="P56" i="1" l="1"/>
  <c r="N56" i="1"/>
  <c r="M56" i="1"/>
  <c r="J56" i="1"/>
  <c r="H56" i="1"/>
  <c r="G56" i="1"/>
  <c r="P58" i="1"/>
  <c r="Q58" i="1"/>
  <c r="L58" i="1"/>
  <c r="O58" i="1"/>
  <c r="E58" i="1"/>
  <c r="I58" i="1"/>
  <c r="P57" i="1"/>
  <c r="R57" i="1"/>
  <c r="M57" i="1"/>
  <c r="N57" i="1"/>
  <c r="F57" i="1"/>
  <c r="K57" i="1"/>
  <c r="C57" i="1"/>
  <c r="D57" i="1"/>
</calcChain>
</file>

<file path=xl/sharedStrings.xml><?xml version="1.0" encoding="utf-8"?>
<sst xmlns="http://schemas.openxmlformats.org/spreadsheetml/2006/main" count="132" uniqueCount="47">
  <si>
    <t>Bag of Words</t>
  </si>
  <si>
    <t>["The cat sat on the mat",
    "The dog sat on the log",
    "Cats and dogs are friends",
    "The mat was sat on by the cat"]</t>
  </si>
  <si>
    <t>cat</t>
  </si>
  <si>
    <t>dog</t>
  </si>
  <si>
    <t>log</t>
  </si>
  <si>
    <t>mat</t>
  </si>
  <si>
    <t>on</t>
  </si>
  <si>
    <t>and</t>
  </si>
  <si>
    <t>by</t>
  </si>
  <si>
    <t>the</t>
  </si>
  <si>
    <t>doc1</t>
  </si>
  <si>
    <t>doc2</t>
  </si>
  <si>
    <t>doc3</t>
  </si>
  <si>
    <t>doc4</t>
  </si>
  <si>
    <t>be (was / are)</t>
  </si>
  <si>
    <t>sit</t>
  </si>
  <si>
    <t>friends</t>
  </si>
  <si>
    <t>Mini Exercise 1</t>
  </si>
  <si>
    <t>Mini Exercise 2</t>
  </si>
  <si>
    <t>['the elephant sneeze at the sight of potatoes', 'bat can see via echolocation see the bat sight sneeze', 'wonder she open the door to the studio']</t>
  </si>
  <si>
    <t>at</t>
  </si>
  <si>
    <t>bat</t>
  </si>
  <si>
    <t>can</t>
  </si>
  <si>
    <t>door</t>
  </si>
  <si>
    <t>echolocation</t>
  </si>
  <si>
    <t>elephant</t>
  </si>
  <si>
    <t>of</t>
  </si>
  <si>
    <t>open</t>
  </si>
  <si>
    <t>potatoes</t>
  </si>
  <si>
    <t>see</t>
  </si>
  <si>
    <t>she</t>
  </si>
  <si>
    <t>sight</t>
  </si>
  <si>
    <t>sneeze</t>
  </si>
  <si>
    <t>studio</t>
  </si>
  <si>
    <t>to</t>
  </si>
  <si>
    <t>via</t>
  </si>
  <si>
    <t>wonder</t>
  </si>
  <si>
    <t>Counts</t>
  </si>
  <si>
    <t>Normalise TF (Divide curr count by total count)</t>
  </si>
  <si>
    <t>BOW (Term Frequency)</t>
  </si>
  <si>
    <t>Vocab</t>
  </si>
  <si>
    <t>DF</t>
  </si>
  <si>
    <t>Vocab and Document Frequency + Inverse Document Frequency (Compute IDF for Vocab)</t>
  </si>
  <si>
    <t>IDF</t>
  </si>
  <si>
    <t>Euclidean Distance</t>
  </si>
  <si>
    <t>Compute TF-IDF (TF x IDF) + Euclidean Distance ( v / sqrt(v1**2 + v2 ** 2 +…)</t>
  </si>
  <si>
    <t>Normalise TF-IDF (TF-IDF v / Euc distance)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</si>
</sst>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9E42-E46E-430F-A1FA-3B2D257B50D0}">
  <dimension ref="A1:T58"/>
  <sheetViews>
    <sheetView tabSelected="1" topLeftCell="A37" workbookViewId="0">
      <selection activeCell="E52" sqref="E52"/>
    </sheetView>
  </sheetViews>
  <sheetFormatPr defaultRowHeight="14.4" x14ac:dyDescent="0.3"/>
  <sheetData>
    <row r="1" spans="1:20" x14ac:dyDescent="0.3">
      <c r="A1" s="1" t="s">
        <v>17</v>
      </c>
    </row>
    <row r="2" spans="1:20" ht="73.8" customHeight="1" x14ac:dyDescent="0.3">
      <c r="A2" s="3" t="s">
        <v>1</v>
      </c>
      <c r="B2" s="3"/>
      <c r="C2" s="3"/>
      <c r="D2" s="3"/>
    </row>
    <row r="4" spans="1:20" x14ac:dyDescent="0.3">
      <c r="A4" s="4" t="s">
        <v>0</v>
      </c>
      <c r="B4" s="4"/>
    </row>
    <row r="5" spans="1:20" x14ac:dyDescent="0.3">
      <c r="B5" t="s">
        <v>7</v>
      </c>
      <c r="C5" t="s">
        <v>14</v>
      </c>
      <c r="D5" t="s">
        <v>8</v>
      </c>
      <c r="E5" t="s">
        <v>2</v>
      </c>
      <c r="F5" t="s">
        <v>3</v>
      </c>
      <c r="G5" t="s">
        <v>16</v>
      </c>
      <c r="H5" t="s">
        <v>4</v>
      </c>
      <c r="I5" t="s">
        <v>5</v>
      </c>
      <c r="J5" t="s">
        <v>6</v>
      </c>
      <c r="K5" t="s">
        <v>15</v>
      </c>
      <c r="L5" t="s">
        <v>9</v>
      </c>
    </row>
    <row r="6" spans="1:20" x14ac:dyDescent="0.3">
      <c r="A6" t="s">
        <v>10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2</v>
      </c>
    </row>
    <row r="7" spans="1:20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2</v>
      </c>
    </row>
    <row r="8" spans="1:20" x14ac:dyDescent="0.3">
      <c r="A8" t="s">
        <v>12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</row>
    <row r="9" spans="1:20" x14ac:dyDescent="0.3">
      <c r="A9" t="s">
        <v>13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2</v>
      </c>
    </row>
    <row r="11" spans="1:20" x14ac:dyDescent="0.3">
      <c r="A11" s="1" t="s">
        <v>18</v>
      </c>
    </row>
    <row r="13" spans="1:20" x14ac:dyDescent="0.3">
      <c r="A13" t="s">
        <v>19</v>
      </c>
    </row>
    <row r="15" spans="1:20" x14ac:dyDescent="0.3">
      <c r="A15" s="1" t="s">
        <v>39</v>
      </c>
    </row>
    <row r="16" spans="1:20" x14ac:dyDescent="0.3">
      <c r="A16" s="2"/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  <c r="P16" t="s">
        <v>9</v>
      </c>
      <c r="Q16" t="s">
        <v>34</v>
      </c>
      <c r="R16" t="s">
        <v>35</v>
      </c>
      <c r="S16" t="s">
        <v>36</v>
      </c>
      <c r="T16" t="s">
        <v>37</v>
      </c>
    </row>
    <row r="17" spans="1:20" x14ac:dyDescent="0.3">
      <c r="A17" s="2" t="s">
        <v>10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2</v>
      </c>
      <c r="Q17">
        <v>0</v>
      </c>
      <c r="R17">
        <v>0</v>
      </c>
      <c r="S17">
        <v>0</v>
      </c>
      <c r="T17">
        <f>SUM(B17:S17)</f>
        <v>8</v>
      </c>
    </row>
    <row r="18" spans="1:20" x14ac:dyDescent="0.3">
      <c r="A18" s="2" t="s">
        <v>11</v>
      </c>
      <c r="B18">
        <v>0</v>
      </c>
      <c r="C18">
        <v>2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f>SUM(B18:S18)</f>
        <v>10</v>
      </c>
    </row>
    <row r="19" spans="1:20" x14ac:dyDescent="0.3">
      <c r="A19" s="2" t="s">
        <v>12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2</v>
      </c>
      <c r="Q19">
        <v>1</v>
      </c>
      <c r="R19">
        <v>0</v>
      </c>
      <c r="S19">
        <v>1</v>
      </c>
      <c r="T19">
        <f>SUM(B19:S19)</f>
        <v>8</v>
      </c>
    </row>
    <row r="21" spans="1:20" x14ac:dyDescent="0.3">
      <c r="A21" s="1" t="s">
        <v>38</v>
      </c>
    </row>
    <row r="22" spans="1:20" x14ac:dyDescent="0.3">
      <c r="A22" s="2"/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33</v>
      </c>
      <c r="P22" t="s">
        <v>9</v>
      </c>
      <c r="Q22" t="s">
        <v>34</v>
      </c>
      <c r="R22" t="s">
        <v>35</v>
      </c>
      <c r="S22" t="s">
        <v>36</v>
      </c>
    </row>
    <row r="23" spans="1:20" x14ac:dyDescent="0.3">
      <c r="A23" s="2" t="s">
        <v>10</v>
      </c>
      <c r="B23">
        <f>B17/T17</f>
        <v>0.125</v>
      </c>
      <c r="C23">
        <v>0</v>
      </c>
      <c r="D23">
        <v>0</v>
      </c>
      <c r="E23">
        <v>0</v>
      </c>
      <c r="F23">
        <v>0</v>
      </c>
      <c r="G23">
        <f>G17/T17</f>
        <v>0.125</v>
      </c>
      <c r="H23">
        <f>H17/T17</f>
        <v>0.125</v>
      </c>
      <c r="I23">
        <v>0</v>
      </c>
      <c r="J23">
        <f>J17/T17</f>
        <v>0.125</v>
      </c>
      <c r="K23">
        <v>0</v>
      </c>
      <c r="L23">
        <v>0</v>
      </c>
      <c r="M23">
        <f>M17/T17</f>
        <v>0.125</v>
      </c>
      <c r="N23">
        <f>N17/T17</f>
        <v>0.125</v>
      </c>
      <c r="O23">
        <v>0</v>
      </c>
      <c r="P23">
        <f>P17/T17</f>
        <v>0.25</v>
      </c>
      <c r="Q23">
        <v>0</v>
      </c>
      <c r="R23">
        <v>0</v>
      </c>
      <c r="S23">
        <v>0</v>
      </c>
    </row>
    <row r="24" spans="1:20" x14ac:dyDescent="0.3">
      <c r="A24" s="2" t="s">
        <v>11</v>
      </c>
      <c r="B24">
        <v>0</v>
      </c>
      <c r="C24">
        <f>C18/T18</f>
        <v>0.2</v>
      </c>
      <c r="D24">
        <f>D18/T18</f>
        <v>0.1</v>
      </c>
      <c r="E24">
        <v>0</v>
      </c>
      <c r="F24">
        <f>F18/T18</f>
        <v>0.1</v>
      </c>
      <c r="G24">
        <v>0</v>
      </c>
      <c r="H24">
        <v>0</v>
      </c>
      <c r="I24">
        <v>0</v>
      </c>
      <c r="J24">
        <v>0</v>
      </c>
      <c r="K24">
        <f>K18/T18</f>
        <v>0.2</v>
      </c>
      <c r="L24">
        <v>0</v>
      </c>
      <c r="M24">
        <f>M18/T18</f>
        <v>0.1</v>
      </c>
      <c r="N24">
        <f>N18/T18</f>
        <v>0.1</v>
      </c>
      <c r="O24">
        <v>0</v>
      </c>
      <c r="P24">
        <f>P18/T18</f>
        <v>0.1</v>
      </c>
      <c r="Q24">
        <v>0</v>
      </c>
      <c r="R24">
        <f xml:space="preserve"> R18/T18</f>
        <v>0.1</v>
      </c>
      <c r="S24">
        <v>0</v>
      </c>
    </row>
    <row r="25" spans="1:20" x14ac:dyDescent="0.3">
      <c r="A25" s="2" t="s">
        <v>12</v>
      </c>
      <c r="B25">
        <v>0</v>
      </c>
      <c r="C25">
        <v>0</v>
      </c>
      <c r="D25">
        <v>0</v>
      </c>
      <c r="E25">
        <f>E19/T19</f>
        <v>0.125</v>
      </c>
      <c r="F25">
        <v>0</v>
      </c>
      <c r="G25">
        <v>0</v>
      </c>
      <c r="H25">
        <v>0</v>
      </c>
      <c r="I25">
        <f>I19/T19</f>
        <v>0.125</v>
      </c>
      <c r="J25">
        <v>0</v>
      </c>
      <c r="K25">
        <v>0</v>
      </c>
      <c r="L25">
        <f>L19/T19</f>
        <v>0.125</v>
      </c>
      <c r="M25">
        <v>0</v>
      </c>
      <c r="N25">
        <v>0</v>
      </c>
      <c r="O25">
        <f>O19/T19</f>
        <v>0.125</v>
      </c>
      <c r="P25">
        <f>P19/T19</f>
        <v>0.25</v>
      </c>
      <c r="Q25">
        <f>Q19/T19</f>
        <v>0.125</v>
      </c>
      <c r="R25">
        <v>0</v>
      </c>
      <c r="S25">
        <f>S19/T19</f>
        <v>0.125</v>
      </c>
    </row>
    <row r="27" spans="1:20" x14ac:dyDescent="0.3">
      <c r="A27" s="1" t="s">
        <v>42</v>
      </c>
    </row>
    <row r="28" spans="1:20" x14ac:dyDescent="0.3">
      <c r="A28" s="2" t="s">
        <v>40</v>
      </c>
      <c r="B28" t="s">
        <v>41</v>
      </c>
      <c r="C28" t="s">
        <v>43</v>
      </c>
    </row>
    <row r="29" spans="1:20" x14ac:dyDescent="0.3">
      <c r="A29" t="s">
        <v>20</v>
      </c>
      <c r="B29">
        <f>COUNTIF(B17:B19, "&gt;= 1")</f>
        <v>1</v>
      </c>
      <c r="C29">
        <f t="shared" ref="C29:C46" si="0">LN((1 + 3)/(1 + B29)) + 1</f>
        <v>1.6931471805599454</v>
      </c>
    </row>
    <row r="30" spans="1:20" x14ac:dyDescent="0.3">
      <c r="A30" t="s">
        <v>21</v>
      </c>
      <c r="B30">
        <f>COUNTIF(C17:C19, "&gt;=1")</f>
        <v>1</v>
      </c>
      <c r="C30">
        <f t="shared" si="0"/>
        <v>1.6931471805599454</v>
      </c>
    </row>
    <row r="31" spans="1:20" x14ac:dyDescent="0.3">
      <c r="A31" t="s">
        <v>22</v>
      </c>
      <c r="B31">
        <f>COUNTIF(D17:D19, "&gt;=1")</f>
        <v>1</v>
      </c>
      <c r="C31">
        <f t="shared" si="0"/>
        <v>1.6931471805599454</v>
      </c>
    </row>
    <row r="32" spans="1:20" x14ac:dyDescent="0.3">
      <c r="A32" t="s">
        <v>23</v>
      </c>
      <c r="B32">
        <f>COUNTIF(E17:E19, "&gt;=1")</f>
        <v>1</v>
      </c>
      <c r="C32">
        <f t="shared" si="0"/>
        <v>1.6931471805599454</v>
      </c>
    </row>
    <row r="33" spans="1:3" x14ac:dyDescent="0.3">
      <c r="A33" t="s">
        <v>24</v>
      </c>
      <c r="B33">
        <f>COUNTIF(F17:F19, "&gt;=1")</f>
        <v>1</v>
      </c>
      <c r="C33">
        <f t="shared" si="0"/>
        <v>1.6931471805599454</v>
      </c>
    </row>
    <row r="34" spans="1:3" x14ac:dyDescent="0.3">
      <c r="A34" t="s">
        <v>25</v>
      </c>
      <c r="B34">
        <f>COUNTIF(G17:G19, "&gt;=1")</f>
        <v>1</v>
      </c>
      <c r="C34">
        <f t="shared" si="0"/>
        <v>1.6931471805599454</v>
      </c>
    </row>
    <row r="35" spans="1:3" x14ac:dyDescent="0.3">
      <c r="A35" t="s">
        <v>26</v>
      </c>
      <c r="B35">
        <f>COUNTIF(H17:H19, "&gt;=1")</f>
        <v>1</v>
      </c>
      <c r="C35">
        <f t="shared" si="0"/>
        <v>1.6931471805599454</v>
      </c>
    </row>
    <row r="36" spans="1:3" x14ac:dyDescent="0.3">
      <c r="A36" t="s">
        <v>27</v>
      </c>
      <c r="B36">
        <f>COUNTIF(I17:I19, "&gt;=1")</f>
        <v>1</v>
      </c>
      <c r="C36">
        <f t="shared" si="0"/>
        <v>1.6931471805599454</v>
      </c>
    </row>
    <row r="37" spans="1:3" x14ac:dyDescent="0.3">
      <c r="A37" t="s">
        <v>28</v>
      </c>
      <c r="B37">
        <f>COUNTIF(J17:J19, "&gt;=1")</f>
        <v>1</v>
      </c>
      <c r="C37">
        <f t="shared" si="0"/>
        <v>1.6931471805599454</v>
      </c>
    </row>
    <row r="38" spans="1:3" x14ac:dyDescent="0.3">
      <c r="A38" t="s">
        <v>29</v>
      </c>
      <c r="B38">
        <f>COUNTIF(K17:K19, "&gt;=1")</f>
        <v>1</v>
      </c>
      <c r="C38">
        <f t="shared" si="0"/>
        <v>1.6931471805599454</v>
      </c>
    </row>
    <row r="39" spans="1:3" x14ac:dyDescent="0.3">
      <c r="A39" t="s">
        <v>30</v>
      </c>
      <c r="B39">
        <f>COUNTIF(L17:L19, "&gt;=1")</f>
        <v>1</v>
      </c>
      <c r="C39">
        <f t="shared" si="0"/>
        <v>1.6931471805599454</v>
      </c>
    </row>
    <row r="40" spans="1:3" x14ac:dyDescent="0.3">
      <c r="A40" t="s">
        <v>31</v>
      </c>
      <c r="B40">
        <f>COUNTIF(M17:M19, "&gt;=1")</f>
        <v>2</v>
      </c>
      <c r="C40">
        <f t="shared" si="0"/>
        <v>1.2876820724517808</v>
      </c>
    </row>
    <row r="41" spans="1:3" x14ac:dyDescent="0.3">
      <c r="A41" t="s">
        <v>32</v>
      </c>
      <c r="B41">
        <f>COUNTIF(N17:N19, "&gt;=1")</f>
        <v>2</v>
      </c>
      <c r="C41">
        <f t="shared" si="0"/>
        <v>1.2876820724517808</v>
      </c>
    </row>
    <row r="42" spans="1:3" x14ac:dyDescent="0.3">
      <c r="A42" t="s">
        <v>33</v>
      </c>
      <c r="B42">
        <f>COUNTIF(O17:O19, "&gt;=1")</f>
        <v>1</v>
      </c>
      <c r="C42">
        <f t="shared" si="0"/>
        <v>1.6931471805599454</v>
      </c>
    </row>
    <row r="43" spans="1:3" x14ac:dyDescent="0.3">
      <c r="A43" t="s">
        <v>9</v>
      </c>
      <c r="B43">
        <f>COUNTIF(P17:P19, "&gt;=1")</f>
        <v>3</v>
      </c>
      <c r="C43">
        <f t="shared" si="0"/>
        <v>1</v>
      </c>
    </row>
    <row r="44" spans="1:3" x14ac:dyDescent="0.3">
      <c r="A44" t="s">
        <v>34</v>
      </c>
      <c r="B44">
        <f>COUNTIF(Q17:Q19, "&gt;=1")</f>
        <v>1</v>
      </c>
      <c r="C44">
        <f t="shared" si="0"/>
        <v>1.6931471805599454</v>
      </c>
    </row>
    <row r="45" spans="1:3" x14ac:dyDescent="0.3">
      <c r="A45" t="s">
        <v>35</v>
      </c>
      <c r="B45">
        <f>COUNTIF(R17:R19, "&gt;=1")</f>
        <v>1</v>
      </c>
      <c r="C45">
        <f t="shared" si="0"/>
        <v>1.6931471805599454</v>
      </c>
    </row>
    <row r="46" spans="1:3" x14ac:dyDescent="0.3">
      <c r="A46" t="s">
        <v>36</v>
      </c>
      <c r="B46">
        <f>COUNTIF(S17:S19, "&gt;=1")</f>
        <v>1</v>
      </c>
      <c r="C46">
        <f t="shared" si="0"/>
        <v>1.6931471805599454</v>
      </c>
    </row>
    <row r="48" spans="1:3" x14ac:dyDescent="0.3">
      <c r="A48" s="1" t="s">
        <v>45</v>
      </c>
    </row>
    <row r="49" spans="1:20" x14ac:dyDescent="0.3"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 t="s">
        <v>32</v>
      </c>
      <c r="O49" t="s">
        <v>33</v>
      </c>
      <c r="P49" t="s">
        <v>9</v>
      </c>
      <c r="Q49" t="s">
        <v>34</v>
      </c>
      <c r="R49" t="s">
        <v>35</v>
      </c>
      <c r="S49" t="s">
        <v>36</v>
      </c>
      <c r="T49" s="1" t="s">
        <v>44</v>
      </c>
    </row>
    <row r="50" spans="1:20" x14ac:dyDescent="0.3">
      <c r="A50" t="s">
        <v>10</v>
      </c>
      <c r="B50">
        <f>B23 * C29</f>
        <v>0.21164339756999317</v>
      </c>
      <c r="C50">
        <f>C23*C30</f>
        <v>0</v>
      </c>
      <c r="D50">
        <f>D23*C31</f>
        <v>0</v>
      </c>
      <c r="E50">
        <f>E23*C32</f>
        <v>0</v>
      </c>
      <c r="F50">
        <f>F23*C33</f>
        <v>0</v>
      </c>
      <c r="G50">
        <f>G23*C34</f>
        <v>0.21164339756999317</v>
      </c>
      <c r="H50">
        <f>H23*C35</f>
        <v>0.21164339756999317</v>
      </c>
      <c r="I50">
        <f>I23*C36</f>
        <v>0</v>
      </c>
      <c r="J50">
        <f>J23*C37</f>
        <v>0.21164339756999317</v>
      </c>
      <c r="K50">
        <f>K23*C38</f>
        <v>0</v>
      </c>
      <c r="L50">
        <f>L23*C39</f>
        <v>0</v>
      </c>
      <c r="M50">
        <f>M23*C40</f>
        <v>0.1609602590564726</v>
      </c>
      <c r="N50">
        <f>N23*C41</f>
        <v>0.1609602590564726</v>
      </c>
      <c r="O50">
        <f>O23*C42</f>
        <v>0</v>
      </c>
      <c r="P50">
        <f>P23*C43</f>
        <v>0.25</v>
      </c>
      <c r="Q50">
        <f>Q23*C44</f>
        <v>0</v>
      </c>
      <c r="R50">
        <f>R23*C45</f>
        <v>0</v>
      </c>
      <c r="S50">
        <f>S23*C46</f>
        <v>0</v>
      </c>
      <c r="T50">
        <f>SQRT(B50^2 + C50^2 + D50^2 + E50^2 + F50^2 + G50^2 + H50^2 + I50^2 + J50^2 + K50^2 + L50^2 + M50^2 + N50^2 + O50^2 + P50^2 + Q50^2 + R50^2 + S50^2)</f>
        <v>0.54174543923408736</v>
      </c>
    </row>
    <row r="51" spans="1:20" x14ac:dyDescent="0.3">
      <c r="A51" t="s">
        <v>11</v>
      </c>
      <c r="B51">
        <f>B24*C29</f>
        <v>0</v>
      </c>
      <c r="C51">
        <f>C24*C30</f>
        <v>0.33862943611198909</v>
      </c>
      <c r="D51">
        <f>D24*C31</f>
        <v>0.16931471805599455</v>
      </c>
      <c r="E51">
        <f>E24*C32</f>
        <v>0</v>
      </c>
      <c r="F51">
        <f>F24*C33</f>
        <v>0.16931471805599455</v>
      </c>
      <c r="G51">
        <f>G24*C34</f>
        <v>0</v>
      </c>
      <c r="H51">
        <f>H24*C35</f>
        <v>0</v>
      </c>
      <c r="I51">
        <f>I24*C36</f>
        <v>0</v>
      </c>
      <c r="J51">
        <f>J24*C37</f>
        <v>0</v>
      </c>
      <c r="K51">
        <f>K24*C38</f>
        <v>0.33862943611198909</v>
      </c>
      <c r="L51">
        <f>L24*C39</f>
        <v>0</v>
      </c>
      <c r="M51">
        <f>M24*C40</f>
        <v>0.1287682072451781</v>
      </c>
      <c r="N51">
        <f>N24*C41</f>
        <v>0.1287682072451781</v>
      </c>
      <c r="O51">
        <f>O24*C42</f>
        <v>0</v>
      </c>
      <c r="P51">
        <f>P24*C43</f>
        <v>0.1</v>
      </c>
      <c r="Q51">
        <f>Q24*C44</f>
        <v>0</v>
      </c>
      <c r="R51">
        <f>R24*C45</f>
        <v>0.16931471805599455</v>
      </c>
      <c r="S51">
        <f>S24*C46</f>
        <v>0</v>
      </c>
      <c r="T51">
        <f t="shared" ref="T51:T52" si="1">SQRT(B51^2 + C51^2 + D51^2 + E51^2 + F51^2 + G51^2 + H51^2 + I51^2 + J51^2 + K51^2 + L51^2 + M51^2 + N51^2 + O51^2 + P51^2 + Q51^2 + R51^2 + S51^2)</f>
        <v>0.59875263143343638</v>
      </c>
    </row>
    <row r="52" spans="1:20" x14ac:dyDescent="0.3">
      <c r="A52" t="s">
        <v>12</v>
      </c>
      <c r="B52">
        <f>B25*C29</f>
        <v>0</v>
      </c>
      <c r="C52">
        <f>C25*C30</f>
        <v>0</v>
      </c>
      <c r="D52">
        <f>D25*C31</f>
        <v>0</v>
      </c>
      <c r="E52">
        <f>E25*C32</f>
        <v>0.21164339756999317</v>
      </c>
      <c r="F52">
        <f>F25*C33</f>
        <v>0</v>
      </c>
      <c r="G52">
        <f>G25*C34</f>
        <v>0</v>
      </c>
      <c r="H52">
        <f>H25*C35</f>
        <v>0</v>
      </c>
      <c r="I52">
        <f>I25*C36</f>
        <v>0.21164339756999317</v>
      </c>
      <c r="J52">
        <f>J25*C37</f>
        <v>0</v>
      </c>
      <c r="K52">
        <f>K25*C38</f>
        <v>0</v>
      </c>
      <c r="L52">
        <f>L25*C39</f>
        <v>0.21164339756999317</v>
      </c>
      <c r="M52">
        <f>M25*C40</f>
        <v>0</v>
      </c>
      <c r="N52">
        <f>N25*C41</f>
        <v>0</v>
      </c>
      <c r="O52">
        <f>O25*C42</f>
        <v>0.21164339756999317</v>
      </c>
      <c r="P52">
        <f>P25*C43</f>
        <v>0.25</v>
      </c>
      <c r="Q52">
        <f>Q25*C44</f>
        <v>0.21164339756999317</v>
      </c>
      <c r="R52">
        <f>R25*C45</f>
        <v>0</v>
      </c>
      <c r="S52">
        <f>S25*C46</f>
        <v>0.21164339756999317</v>
      </c>
      <c r="T52">
        <f t="shared" si="1"/>
        <v>0.57554979490033797</v>
      </c>
    </row>
    <row r="54" spans="1:20" x14ac:dyDescent="0.3">
      <c r="A54" s="1" t="s">
        <v>46</v>
      </c>
    </row>
    <row r="55" spans="1:20" x14ac:dyDescent="0.3"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32</v>
      </c>
      <c r="O55" t="s">
        <v>33</v>
      </c>
      <c r="P55" t="s">
        <v>9</v>
      </c>
      <c r="Q55" t="s">
        <v>34</v>
      </c>
      <c r="R55" t="s">
        <v>35</v>
      </c>
      <c r="S55" t="s">
        <v>36</v>
      </c>
    </row>
    <row r="56" spans="1:20" x14ac:dyDescent="0.3">
      <c r="A56" t="s">
        <v>10</v>
      </c>
      <c r="B56">
        <f>B50/T50</f>
        <v>0.39066945883146126</v>
      </c>
      <c r="C56">
        <v>0</v>
      </c>
      <c r="D56">
        <v>0</v>
      </c>
      <c r="E56">
        <v>0</v>
      </c>
      <c r="F56">
        <v>0</v>
      </c>
      <c r="G56">
        <f>G50/T50</f>
        <v>0.39066945883146126</v>
      </c>
      <c r="H56">
        <f>H50/T50</f>
        <v>0.39066945883146126</v>
      </c>
      <c r="I56">
        <v>0</v>
      </c>
      <c r="J56">
        <f>J50/T50</f>
        <v>0.39066945883146126</v>
      </c>
      <c r="K56">
        <v>0</v>
      </c>
      <c r="L56">
        <v>0</v>
      </c>
      <c r="M56">
        <f>M50/T50</f>
        <v>0.29711419312368575</v>
      </c>
      <c r="N56">
        <f>N50/T50</f>
        <v>0.29711419312368575</v>
      </c>
      <c r="O56">
        <v>0</v>
      </c>
      <c r="P56">
        <f>P50/T50</f>
        <v>0.46147135147726714</v>
      </c>
      <c r="Q56">
        <v>0</v>
      </c>
      <c r="R56">
        <v>0</v>
      </c>
      <c r="S56">
        <v>0</v>
      </c>
    </row>
    <row r="57" spans="1:20" x14ac:dyDescent="0.3">
      <c r="A57" t="s">
        <v>11</v>
      </c>
      <c r="B57">
        <v>0</v>
      </c>
      <c r="C57">
        <f>C51/T51</f>
        <v>0.56555815930411435</v>
      </c>
      <c r="D57">
        <f>D51/T51</f>
        <v>0.28277907965205717</v>
      </c>
      <c r="E57">
        <v>0</v>
      </c>
      <c r="F57">
        <f>F51/T51</f>
        <v>0.28277907965205717</v>
      </c>
      <c r="G57">
        <v>0</v>
      </c>
      <c r="H57">
        <v>0</v>
      </c>
      <c r="I57">
        <v>0</v>
      </c>
      <c r="J57">
        <v>0</v>
      </c>
      <c r="K57">
        <f>K51/T51</f>
        <v>0.56555815930411435</v>
      </c>
      <c r="L57">
        <v>0</v>
      </c>
      <c r="M57">
        <f>M51/T51</f>
        <v>0.21506077883432789</v>
      </c>
      <c r="N57">
        <f>N51/T51</f>
        <v>0.21506077883432789</v>
      </c>
      <c r="O57">
        <v>0</v>
      </c>
      <c r="P57">
        <f>P51/T51</f>
        <v>0.16701387977301449</v>
      </c>
      <c r="Q57">
        <v>0</v>
      </c>
      <c r="R57">
        <f>R51/T51</f>
        <v>0.28277907965205717</v>
      </c>
      <c r="S57">
        <v>0</v>
      </c>
    </row>
    <row r="58" spans="1:20" x14ac:dyDescent="0.3">
      <c r="A58" t="s">
        <v>12</v>
      </c>
      <c r="B58">
        <v>0</v>
      </c>
      <c r="C58">
        <v>0</v>
      </c>
      <c r="D58">
        <v>0</v>
      </c>
      <c r="E58">
        <f>E52/T52</f>
        <v>0.36772386932505341</v>
      </c>
      <c r="F58">
        <v>0</v>
      </c>
      <c r="G58">
        <v>0</v>
      </c>
      <c r="H58">
        <v>0</v>
      </c>
      <c r="I58">
        <f>I52/T52</f>
        <v>0.36772386932505341</v>
      </c>
      <c r="J58">
        <v>0</v>
      </c>
      <c r="K58">
        <v>0</v>
      </c>
      <c r="L58">
        <f>L52/T52</f>
        <v>0.36772386932505341</v>
      </c>
      <c r="M58">
        <v>0</v>
      </c>
      <c r="N58">
        <v>0</v>
      </c>
      <c r="O58">
        <f>O52/T52</f>
        <v>0.36772386932505341</v>
      </c>
      <c r="P58">
        <f>P52/T52</f>
        <v>0.4343672818844283</v>
      </c>
      <c r="Q58">
        <f>Q52/T52</f>
        <v>0.36772386932505341</v>
      </c>
      <c r="R58">
        <v>0</v>
      </c>
      <c r="S58">
        <f>S52/T52</f>
        <v>0.36772386932505341</v>
      </c>
    </row>
  </sheetData>
  <mergeCells count="2">
    <mergeCell ref="A2:D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Wong</dc:creator>
  <cp:lastModifiedBy>Amelia Wong</cp:lastModifiedBy>
  <dcterms:created xsi:type="dcterms:W3CDTF">2026-05-18T02:24:43Z</dcterms:created>
  <dcterms:modified xsi:type="dcterms:W3CDTF">2026-05-18T06:20:03Z</dcterms:modified>
</cp:coreProperties>
</file>